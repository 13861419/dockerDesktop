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漏洞修复对照表" sheetId="1" state="visible" r:id="rId1"/>
  </sheets>
  <definedNames>
    <definedName name="_xlnm._FilterDatabase" localSheetId="0" hidden="1">'漏洞修复对照表'!$A$3:$J$16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1"/>
    </font>
    <font>
      <name val="Arial"/>
      <b val="1"/>
      <color rgb="009C0006"/>
    </font>
    <font>
      <name val="Arial"/>
      <b val="1"/>
      <color rgb="009C6500"/>
    </font>
    <font>
      <name val="Arial"/>
      <b val="1"/>
      <color rgb="007F6000"/>
    </font>
    <font>
      <name val="Arial"/>
      <b val="1"/>
      <color rgb="001F3864"/>
      <sz val="12"/>
    </font>
    <font>
      <name val="Arial"/>
      <b val="1"/>
      <color rgb="001F3864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6E4F0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vertical="top" wrapText="1"/>
    </xf>
    <xf numFmtId="0" fontId="7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9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漏洞风险等级分布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'漏洞修复对照表'!B20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'漏洞修复对照表'!$A$21:$A$23</f>
            </numRef>
          </cat>
          <val>
            <numRef>
              <f>'漏洞修复对照表'!$B$21:$B$24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风险等级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18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30" customWidth="1" min="3" max="3"/>
    <col width="26" customWidth="1" min="4" max="4"/>
    <col width="32" customWidth="1" min="5" max="5"/>
    <col width="22" customWidth="1" min="6" max="6"/>
    <col width="46" customWidth="1" min="7" max="7"/>
    <col width="40" customWidth="1" min="8" max="8"/>
    <col width="46" customWidth="1" min="9" max="9"/>
    <col width="12" customWidth="1" min="10" max="10"/>
  </cols>
  <sheetData>
    <row r="1">
      <c r="A1" s="1" t="inlineStr">
        <is>
          <t>DockerDesktop 安全审计漏洞修复对照表</t>
        </is>
      </c>
    </row>
    <row r="2">
      <c r="A2" s="2" t="inlineStr">
        <is>
          <t>审计日期：2026-08-14  |  范围：访问控制 / RBAC 权限审计  |  共 13 项（高危 2 / 中危 5 / 低 6）  |  全部已修复</t>
        </is>
      </c>
    </row>
    <row r="3">
      <c r="A3" s="3" t="inlineStr">
        <is>
          <t>编号</t>
        </is>
      </c>
      <c r="B3" s="3" t="inlineStr">
        <is>
          <t>风险等级</t>
        </is>
      </c>
      <c r="C3" s="3" t="inlineStr">
        <is>
          <t>标题</t>
        </is>
      </c>
      <c r="D3" s="3" t="inlineStr">
        <is>
          <t>接口 / 入口</t>
        </is>
      </c>
      <c r="E3" s="3" t="inlineStr">
        <is>
          <t>文件</t>
        </is>
      </c>
      <c r="F3" s="3" t="inlineStr">
        <is>
          <t>类型</t>
        </is>
      </c>
      <c r="G3" s="3" t="inlineStr">
        <is>
          <t>描述</t>
        </is>
      </c>
      <c r="H3" s="3" t="inlineStr">
        <is>
          <t>影响</t>
        </is>
      </c>
      <c r="I3" s="3" t="inlineStr">
        <is>
          <t>修复</t>
        </is>
      </c>
      <c r="J3" s="3" t="inlineStr">
        <is>
          <t>状态</t>
        </is>
      </c>
    </row>
    <row r="4">
      <c r="A4" s="4" t="inlineStr">
        <is>
          <t>SEC-01</t>
        </is>
      </c>
      <c r="B4" s="5" t="inlineStr">
        <is>
          <t>高危</t>
        </is>
      </c>
      <c r="C4" s="5" t="inlineStr">
        <is>
          <t>数据库备份接口未授权，可下载含密码哈希的数据库</t>
        </is>
      </c>
      <c r="D4" s="5" t="inlineStr">
        <is>
          <t>GET /api/system/backup</t>
        </is>
      </c>
      <c r="E4" s="5" t="inlineStr">
        <is>
          <t>server/src/routes/system.ts</t>
        </is>
      </c>
      <c r="F4" s="5" t="inlineStr">
        <is>
          <t>未授权敏感数据下载（Broken Access Control）</t>
        </is>
      </c>
      <c r="G4" s="5" t="inlineStr">
        <is>
          <t>导出整个面板 SQLite 数据库（含用户口令哈希、镜像源配置、操作日志等），审计前未加 requireAdmin，普通用户可下载。</t>
        </is>
      </c>
      <c r="H4" s="5" t="inlineStr">
        <is>
          <t>口令哈希可被离线破解；镜像源配置（可能含私有仓库凭据）泄露；拖库。</t>
        </is>
      </c>
      <c r="I4" s="5" t="inlineStr">
        <is>
          <t>补 requireAdmin；前端设置页「导出备份」按钮及 handleBackup 函数同步加管理员守卫。</t>
        </is>
      </c>
      <c r="J4" s="5" t="inlineStr">
        <is>
          <t>✅ 已修复</t>
        </is>
      </c>
    </row>
    <row r="5">
      <c r="A5" s="4" t="inlineStr">
        <is>
          <t>SEC-02</t>
        </is>
      </c>
      <c r="B5" s="5" t="inlineStr">
        <is>
          <t>高危</t>
        </is>
      </c>
      <c r="C5" s="5" t="inlineStr">
        <is>
          <t>网络清理接口未授权，可一键破坏网络配置</t>
        </is>
      </c>
      <c r="D5" s="5" t="inlineStr">
        <is>
          <t>POST /api/networks/prune</t>
        </is>
      </c>
      <c r="E5" s="5" t="inlineStr">
        <is>
          <t>server/src/routes/networks.ts</t>
        </is>
      </c>
      <c r="F5" s="5" t="inlineStr">
        <is>
          <t>不可逆的未授权破坏性操作</t>
        </is>
      </c>
      <c r="G5" s="5" t="inlineStr">
        <is>
          <t>批量断开并删除所有未被容器连接的自定义网络，审计前未加 requireAdmin。</t>
        </is>
      </c>
      <c r="H5" s="5" t="inlineStr">
        <is>
          <t>清除全部未使用网络，影响依赖自定义网络的应用编排。</t>
        </is>
      </c>
      <c r="I5" s="5" t="inlineStr">
        <is>
          <t>补 requireAdmin。</t>
        </is>
      </c>
      <c r="J5" s="5" t="inlineStr">
        <is>
          <t>✅ 已修复</t>
        </is>
      </c>
    </row>
    <row r="6">
      <c r="A6" s="6" t="inlineStr">
        <is>
          <t>SEC-03</t>
        </is>
      </c>
      <c r="B6" s="7" t="inlineStr">
        <is>
          <t>中危</t>
        </is>
      </c>
      <c r="C6" s="7" t="inlineStr">
        <is>
          <t>用户枚举：GET /api/system/users 未授权</t>
        </is>
      </c>
      <c r="D6" s="7" t="inlineStr">
        <is>
          <t>GET /api/system/users</t>
        </is>
      </c>
      <c r="E6" s="7" t="inlineStr">
        <is>
          <t>server/src/routes/system.ts</t>
        </is>
      </c>
      <c r="F6" s="7" t="inlineStr">
        <is>
          <t>信息泄露 / 用户枚举</t>
        </is>
      </c>
      <c r="G6" s="7" t="inlineStr">
        <is>
          <t>返回全部用户名与角色，审计前未受保护。</t>
        </is>
      </c>
      <c r="H6" s="7" t="inlineStr">
        <is>
          <t>普通用户可枚举账户，为口令爆破或社工提供信息基础。</t>
        </is>
      </c>
      <c r="I6" s="7" t="inlineStr">
        <is>
          <t>补 requireAdmin。</t>
        </is>
      </c>
      <c r="J6" s="7" t="inlineStr">
        <is>
          <t>✅ 已修复</t>
        </is>
      </c>
    </row>
    <row r="7">
      <c r="A7" s="6" t="inlineStr">
        <is>
          <t>SEC-04</t>
        </is>
      </c>
      <c r="B7" s="7" t="inlineStr">
        <is>
          <t>中危</t>
        </is>
      </c>
      <c r="C7" s="7" t="inlineStr">
        <is>
          <t>操作日志查询与导出未授权</t>
        </is>
      </c>
      <c r="D7" s="7" t="inlineStr">
        <is>
          <t>GET /api/operation-logs、GET /api/operation-logs/export</t>
        </is>
      </c>
      <c r="E7" s="7" t="inlineStr">
        <is>
          <t>server/src/routes/operationLogs.ts</t>
        </is>
      </c>
      <c r="F7" s="7" t="inlineStr">
        <is>
          <t>信息泄露</t>
        </is>
      </c>
      <c r="G7" s="7" t="inlineStr">
        <is>
          <t>含用户名、操作记录、目标资源等审计数据，审计前两者均未受保护（仅 DELETE 清空受限）。</t>
        </is>
      </c>
      <c r="H7" s="7" t="inlineStr">
        <is>
          <t>普通用户可查看/导出全部操作审计日志，了解他人操作与系统拓扑。</t>
        </is>
      </c>
      <c r="I7" s="7" t="inlineStr">
        <is>
          <t>两个 GET 均补 requireAdmin。</t>
        </is>
      </c>
      <c r="J7" s="7" t="inlineStr">
        <is>
          <t>✅ 已修复</t>
        </is>
      </c>
    </row>
    <row r="8">
      <c r="A8" s="6" t="inlineStr">
        <is>
          <t>SEC-05</t>
        </is>
      </c>
      <c r="B8" s="7" t="inlineStr">
        <is>
          <t>中危</t>
        </is>
      </c>
      <c r="C8" s="7" t="inlineStr">
        <is>
          <t>宿主机文件系统遍历未授权</t>
        </is>
      </c>
      <c r="D8" s="7" t="inlineStr">
        <is>
          <t>GET /api/hostfiles/list</t>
        </is>
      </c>
      <c r="E8" s="7" t="inlineStr">
        <is>
          <t>server/src/routes/hostFiles.ts</t>
        </is>
      </c>
      <c r="F8" s="7" t="inlineStr">
        <is>
          <t>信息泄露 / 路径遍历</t>
        </is>
      </c>
      <c r="G8" s="7" t="inlineStr">
        <is>
          <t>返回指定路径的目录/文件名、类型、大小、修改时间，审计前未受保护。</t>
        </is>
      </c>
      <c r="H8" s="7" t="inlineStr">
        <is>
          <t>普通用户可遍历宿主文件系统结构，为后续攻击提供侦察。</t>
        </is>
      </c>
      <c r="I8" s="7" t="inlineStr">
        <is>
          <t>补 requireAdmin。</t>
        </is>
      </c>
      <c r="J8" s="7" t="inlineStr">
        <is>
          <t>✅ 已修复</t>
        </is>
      </c>
    </row>
    <row r="9">
      <c r="A9" s="6" t="inlineStr">
        <is>
          <t>SEC-06</t>
        </is>
      </c>
      <c r="B9" s="7" t="inlineStr">
        <is>
          <t>中危</t>
        </is>
      </c>
      <c r="C9" s="7" t="inlineStr">
        <is>
          <t>数据库实例更新接口未授权（可改凭据/连接配置）</t>
        </is>
      </c>
      <c r="D9" s="7" t="inlineStr">
        <is>
          <t>PUT /api/databases/:id</t>
        </is>
      </c>
      <c r="E9" s="7" t="inlineStr">
        <is>
          <t>server/src/routes/databases.ts</t>
        </is>
      </c>
      <c r="F9" s="7" t="inlineStr">
        <is>
          <t>越权配置修改</t>
        </is>
      </c>
      <c r="G9" s="7" t="inlineStr">
        <is>
          <t>更新数据库实例的宿主/端口/用户/口令/连接信息，审计前未加 requireAdmin。</t>
        </is>
      </c>
      <c r="H9" s="7" t="inlineStr">
        <is>
          <t>普通用户可篡改数据库连接凭据导向恶意地址，或破坏其可连接性。</t>
        </is>
      </c>
      <c r="I9" s="7" t="inlineStr">
        <is>
          <t>补 requireAdmin；前端「编辑实例」入口同步限管理员。</t>
        </is>
      </c>
      <c r="J9" s="7" t="inlineStr">
        <is>
          <t>✅ 已修复</t>
        </is>
      </c>
    </row>
    <row r="10">
      <c r="A10" s="6" t="inlineStr">
        <is>
          <t>SEC-07</t>
        </is>
      </c>
      <c r="B10" s="7" t="inlineStr">
        <is>
          <t>中危</t>
        </is>
      </c>
      <c r="C10" s="7" t="inlineStr">
        <is>
          <t>终端会话信息未授权</t>
        </is>
      </c>
      <c r="D10" s="7" t="inlineStr">
        <is>
          <t>GET /api/hostterminal/info</t>
        </is>
      </c>
      <c r="E10" s="7" t="inlineStr">
        <is>
          <t>server/src/routes/hostTerminal.ts</t>
        </is>
      </c>
      <c r="F10" s="7" t="inlineStr">
        <is>
          <t>信息泄露（保持一致收口）</t>
        </is>
      </c>
      <c r="G10" s="7" t="inlineStr">
        <is>
          <t>返回宿主机会话工作目录与可用 shell，审计前未受保护。</t>
        </is>
      </c>
      <c r="H10" s="7" t="inlineStr">
        <is>
          <t>轻度信息泄露；终端系高危面，应收口一致。</t>
        </is>
      </c>
      <c r="I10" s="7" t="inlineStr">
        <is>
          <t>补 requireAdmin。</t>
        </is>
      </c>
      <c r="J10" s="7" t="inlineStr">
        <is>
          <t>✅ 已修复</t>
        </is>
      </c>
    </row>
    <row r="11">
      <c r="A11" s="8" t="inlineStr">
        <is>
          <t>SEC-08</t>
        </is>
      </c>
      <c r="B11" s="9" t="inlineStr">
        <is>
          <t>低</t>
        </is>
      </c>
      <c r="C11" s="9" t="inlineStr">
        <is>
          <t>容器生命周期操作权限边界曾被错误收紧</t>
        </is>
      </c>
      <c r="D11" s="9" t="inlineStr">
        <is>
          <t>CONTAINERS start/stop/restart/pause/unpause</t>
        </is>
      </c>
      <c r="E11" s="9" t="inlineStr">
        <is>
          <t>server/src/routes/containers.ts</t>
        </is>
      </c>
      <c r="F11" s="9" t="inlineStr">
        <is>
          <t>权限模型 / 一致性</t>
        </is>
      </c>
      <c r="G11" s="9" t="inlineStr">
        <is>
          <t>审计过程中曾一度将生命周期操作全部设为 requireAdmin，与竞品共识不符、过度限制普通用户。</t>
        </is>
      </c>
      <c r="H11" s="9" t="inlineStr">
        <is>
          <t>普通用户无法启停/重启/暂停容器，与主流面板（Portainer/K8s）体验不一致。</t>
        </is>
      </c>
      <c r="I11" s="9" t="inlineStr">
        <is>
          <t>依据竞品调研恢复开放给普通用户；仅保留重命名、克隆为仅管理员，并补齐 /:id/clone 的 requireAdmin。</t>
        </is>
      </c>
      <c r="J11" s="9" t="inlineStr">
        <is>
          <t>✅ 已修复</t>
        </is>
      </c>
    </row>
    <row r="12">
      <c r="A12" s="8" t="inlineStr">
        <is>
          <t>SEC-09</t>
        </is>
      </c>
      <c r="B12" s="9" t="inlineStr">
        <is>
          <t>低</t>
        </is>
      </c>
      <c r="C12" s="9" t="inlineStr">
        <is>
          <t>容器「清理未使用」入口前端未联动</t>
        </is>
      </c>
      <c r="D12" s="9" t="inlineStr">
        <is>
          <t>confirmPrune / /api/system/prune</t>
        </is>
      </c>
      <c r="E12" s="9" t="inlineStr">
        <is>
          <t>web/src/pages/containers.tsx</t>
        </is>
      </c>
      <c r="F12" s="9" t="inlineStr">
        <is>
          <t>前端未联动</t>
        </is>
      </c>
      <c r="G12" s="9" t="inlineStr">
        <is>
          <t>调系统级清理接口（本就 admin），但前端清理按钮/函数未做管理员禁用与守卫。</t>
        </is>
      </c>
      <c r="H12" s="9" t="inlineStr">
        <is>
          <t>普通用户可看到入口，点击后由后端拦截（403）。</t>
        </is>
      </c>
      <c r="I12" s="9" t="inlineStr">
        <is>
          <t>前端补 disabled 与函数守卫。</t>
        </is>
      </c>
      <c r="J12" s="9" t="inlineStr">
        <is>
          <t>✅ 已修复</t>
        </is>
      </c>
    </row>
    <row r="13">
      <c r="A13" s="8" t="inlineStr">
        <is>
          <t>SEC-10</t>
        </is>
      </c>
      <c r="B13" s="9" t="inlineStr">
        <is>
          <t>低</t>
        </is>
      </c>
      <c r="C13" s="9" t="inlineStr">
        <is>
          <t>容器重命名按钮前端未联动</t>
        </is>
      </c>
      <c r="D13" s="9" t="inlineStr">
        <is>
          <t>openRename / confirmRename</t>
        </is>
      </c>
      <c r="E13" s="9" t="inlineStr">
        <is>
          <t>web/src/pages/containers.tsx</t>
        </is>
      </c>
      <c r="F13" s="9" t="inlineStr">
        <is>
          <t>前端未联动</t>
        </is>
      </c>
      <c r="G13" s="9" t="inlineStr">
        <is>
          <t>后端 rename 需 admin，但前端按钮未禁用、函数未守卫。</t>
        </is>
      </c>
      <c r="H13" s="9" t="inlineStr">
        <is>
          <t>普通用户可看到入口，操作被后端拦截。</t>
        </is>
      </c>
      <c r="I13" s="9" t="inlineStr">
        <is>
          <t>前端补 disabled 与函数守卫。</t>
        </is>
      </c>
      <c r="J13" s="9" t="inlineStr">
        <is>
          <t>✅ 已修复</t>
        </is>
      </c>
    </row>
    <row r="14">
      <c r="A14" s="8" t="inlineStr">
        <is>
          <t>SEC-11</t>
        </is>
      </c>
      <c r="B14" s="9" t="inlineStr">
        <is>
          <t>低</t>
        </is>
      </c>
      <c r="C14" s="9" t="inlineStr">
        <is>
          <t>容器克隆按钮前端未联动</t>
        </is>
      </c>
      <c r="D14" s="9" t="inlineStr">
        <is>
          <t>openClone / confirmClone</t>
        </is>
      </c>
      <c r="E14" s="9" t="inlineStr">
        <is>
          <t>web/src/pages/containers.tsx</t>
        </is>
      </c>
      <c r="F14" s="9" t="inlineStr">
        <is>
          <t>前端未联动</t>
        </is>
      </c>
      <c r="G14" s="9" t="inlineStr">
        <is>
          <t>后端 clone 需 admin，前端入口未禁用、函数未守卫。</t>
        </is>
      </c>
      <c r="H14" s="9" t="inlineStr">
        <is>
          <t>普通用户可看到入口，操作被后端拦截。</t>
        </is>
      </c>
      <c r="I14" s="9" t="inlineStr">
        <is>
          <t>前端补 disabled 与函数守卫。</t>
        </is>
      </c>
      <c r="J14" s="9" t="inlineStr">
        <is>
          <t>✅ 已修复</t>
        </is>
      </c>
    </row>
    <row r="15">
      <c r="A15" s="8" t="inlineStr">
        <is>
          <t>SEC-12</t>
        </is>
      </c>
      <c r="B15" s="9" t="inlineStr">
        <is>
          <t>低</t>
        </is>
      </c>
      <c r="C15" s="9" t="inlineStr">
        <is>
          <t>数据库实例「登记/编辑」前端需限管理员</t>
        </is>
      </c>
      <c r="D15" s="9" t="inlineStr">
        <is>
          <t>POST /（登记）、PUT /:id（更新）</t>
        </is>
      </c>
      <c r="E15" s="9" t="inlineStr">
        <is>
          <t>web/src/pages/databases.tsx</t>
        </is>
      </c>
      <c r="F15" s="9" t="inlineStr">
        <is>
          <t>前端未联动</t>
        </is>
      </c>
      <c r="G15" s="9" t="inlineStr">
        <is>
          <t>后端登记与更新均需 admin，前端编辑入口与提交未对普通用户禁用。</t>
        </is>
      </c>
      <c r="H15" s="9" t="inlineStr">
        <is>
          <t>普通用户可看到编辑入口，提交被后端拦截。</t>
        </is>
      </c>
      <c r="I15" s="9" t="inlineStr">
        <is>
          <t>前端补管理员禁用/守卫，并同步 useCallback 依赖。</t>
        </is>
      </c>
      <c r="J15" s="9" t="inlineStr">
        <is>
          <t>✅ 已修复</t>
        </is>
      </c>
    </row>
    <row r="16">
      <c r="A16" s="8" t="inlineStr">
        <is>
          <t>SEC-13</t>
        </is>
      </c>
      <c r="B16" s="9" t="inlineStr">
        <is>
          <t>低</t>
        </is>
      </c>
      <c r="C16" s="9" t="inlineStr">
        <is>
          <t>应用商店、镜像中心、构建、宿主机文件等页面写入口未联动</t>
        </is>
      </c>
      <c r="D16" s="9" t="inlineStr">
        <is>
          <t>appstore/hub/build/hostFiles/sites/compose/backups/cloudBackup/images/tasks 各写操作按钮</t>
        </is>
      </c>
      <c r="E16" s="9" t="inlineStr">
        <is>
          <t>web/src/pages/{appstore,hub,build,hostFiles,sites,compose,backups,cloudBackup,images,tasks}.tsx</t>
        </is>
      </c>
      <c r="F16" s="9" t="inlineStr">
        <is>
          <t>前端未联动</t>
        </is>
      </c>
      <c r="G16" s="9" t="inlineStr">
        <is>
          <t>这些页面对应后端写操作均为 requireAdmin，但前端各安装/拉取/构建/写文件/站点/备份/镜像/任务按钮初始未做管理员禁用。</t>
        </is>
      </c>
      <c r="H16" s="9" t="inlineStr">
        <is>
          <t>普通用户可看到入口，写操作被后端拦截。</t>
        </is>
      </c>
      <c r="I16" s="9" t="inlineStr">
        <is>
          <t>统一补 canManage 禁用态与函数级守卫；并为 sites /reload、build /image、images 系列补齐后端 requireAdmin 或前端联动。</t>
        </is>
      </c>
      <c r="J16" s="9" t="inlineStr">
        <is>
          <t>✅ 已修复</t>
        </is>
      </c>
    </row>
    <row r="19">
      <c r="A19" s="10" t="inlineStr">
        <is>
          <t>统计汇总</t>
        </is>
      </c>
    </row>
    <row r="20">
      <c r="A20" s="11" t="inlineStr">
        <is>
          <t>风险等级</t>
        </is>
      </c>
      <c r="B20" s="11" t="inlineStr">
        <is>
          <t>数量</t>
        </is>
      </c>
      <c r="C20" s="11" t="inlineStr">
        <is>
          <t>占比</t>
        </is>
      </c>
    </row>
    <row r="21">
      <c r="A21" s="12" t="inlineStr">
        <is>
          <t>高危</t>
        </is>
      </c>
      <c r="B21" s="13">
        <f>COUNTIF($B$4:$B$16,A21)</f>
        <v/>
      </c>
      <c r="C21" s="14">
        <f>IF(COUNTA($A$4:$A$16)=0,"",B21/COUNTA($A$4:$A$16))</f>
        <v/>
      </c>
    </row>
    <row r="22">
      <c r="A22" s="12" t="inlineStr">
        <is>
          <t>中危</t>
        </is>
      </c>
      <c r="B22" s="13">
        <f>COUNTIF($B$4:$B$16,A22)</f>
        <v/>
      </c>
      <c r="C22" s="14">
        <f>IF(COUNTA($A$4:$A$16)=0,"",B22/COUNTA($A$4:$A$16))</f>
        <v/>
      </c>
    </row>
    <row r="23">
      <c r="A23" s="12" t="inlineStr">
        <is>
          <t>低</t>
        </is>
      </c>
      <c r="B23" s="13">
        <f>COUNTIF($B$4:$B$16,A23)</f>
        <v/>
      </c>
      <c r="C23" s="14">
        <f>IF(COUNTA($A$4:$A$16)=0,"",B23/COUNTA($A$4:$A$16))</f>
        <v/>
      </c>
    </row>
    <row r="24">
      <c r="A24" s="12" t="inlineStr">
        <is>
          <t>合计</t>
        </is>
      </c>
      <c r="B24" s="13">
        <f>SUBTOTAL(3,$B$4:$B$16)</f>
        <v/>
      </c>
      <c r="C24" s="14">
        <f>IF(COUNTA($A$4:$A$16)=0,"",COUNTA($A$4:$A$16)/COUNTA($A$4:$A$16))</f>
        <v/>
      </c>
    </row>
  </sheetData>
  <autoFilter ref="A3:J16"/>
  <mergeCells count="3">
    <mergeCell ref="A1:J1"/>
    <mergeCell ref="A19:C19"/>
    <mergeCell ref="A2:J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2026-08-14T07:19:52Z</dcterms:created>
  <dcterms:modified xmlns:dcterms="http://purl.org/dc/terms/" xmlns:xsi="http://www.w3.org/2001/XMLSchema-instance" xsi:type="dcterms:W3CDTF">2026-08-14T07:19:52Z</dcterms:modified>
</cp:coreProperties>
</file>